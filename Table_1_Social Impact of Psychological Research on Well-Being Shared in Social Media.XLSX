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UBLIS\PUBLIS 2019\social impact_frontiers\PRIMER DRAFT\Submission\"/>
    </mc:Choice>
  </mc:AlternateContent>
  <xr:revisionPtr revIDLastSave="0" documentId="13_ncr:1_{4BF7188F-F5CC-4C40-9786-E6FB2879A9FD}" xr6:coauthVersionLast="41" xr6:coauthVersionMax="43" xr10:uidLastSave="{00000000-0000-0000-0000-000000000000}"/>
  <bookViews>
    <workbookView xWindow="-120" yWindow="-120" windowWidth="20730" windowHeight="11160" xr2:uid="{6E46DDB6-F2BE-3448-AEF3-66A8454B1759}"/>
  </bookViews>
  <sheets>
    <sheet name="Final Analysis SISM-SICOR" sheetId="8" r:id="rId1"/>
    <sheet name="Potential - Real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9" l="1"/>
  <c r="D4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26" i="9"/>
  <c r="Q6" i="8" l="1"/>
  <c r="D17" i="8" l="1"/>
  <c r="L4" i="8" l="1"/>
  <c r="O14" i="8" l="1"/>
  <c r="N14" i="8"/>
  <c r="M14" i="8"/>
  <c r="L14" i="8"/>
  <c r="K14" i="8"/>
  <c r="J14" i="8"/>
  <c r="I14" i="8"/>
  <c r="H14" i="8"/>
  <c r="G14" i="8"/>
  <c r="F14" i="8"/>
  <c r="E14" i="8"/>
  <c r="D14" i="8"/>
  <c r="U13" i="8"/>
  <c r="S13" i="8"/>
  <c r="R13" i="8"/>
  <c r="Q13" i="8"/>
  <c r="P13" i="8"/>
  <c r="U12" i="8"/>
  <c r="S12" i="8"/>
  <c r="R12" i="8"/>
  <c r="Q12" i="8"/>
  <c r="P12" i="8"/>
  <c r="U11" i="8"/>
  <c r="T11" i="8"/>
  <c r="S11" i="8"/>
  <c r="R11" i="8"/>
  <c r="Q11" i="8"/>
  <c r="P11" i="8"/>
  <c r="V10" i="8"/>
  <c r="U10" i="8"/>
  <c r="T10" i="8"/>
  <c r="S10" i="8"/>
  <c r="R10" i="8"/>
  <c r="Q10" i="8"/>
  <c r="P10" i="8"/>
  <c r="U9" i="8"/>
  <c r="S9" i="8"/>
  <c r="R9" i="8"/>
  <c r="Q9" i="8"/>
  <c r="V8" i="8"/>
  <c r="U8" i="8"/>
  <c r="T8" i="8"/>
  <c r="S8" i="8"/>
  <c r="R8" i="8"/>
  <c r="Q8" i="8"/>
  <c r="P8" i="8"/>
  <c r="U7" i="8"/>
  <c r="S7" i="8"/>
  <c r="R7" i="8"/>
  <c r="Q7" i="8"/>
  <c r="V6" i="8"/>
  <c r="U6" i="8"/>
  <c r="T6" i="8"/>
  <c r="S6" i="8"/>
  <c r="R6" i="8"/>
  <c r="P6" i="8"/>
  <c r="U5" i="8"/>
  <c r="T5" i="8"/>
  <c r="S5" i="8"/>
  <c r="R5" i="8"/>
  <c r="Q5" i="8"/>
  <c r="P5" i="8"/>
  <c r="U4" i="8"/>
  <c r="T4" i="8"/>
  <c r="R4" i="8"/>
  <c r="Q4" i="8"/>
  <c r="P4" i="8"/>
  <c r="Y13" i="8" l="1"/>
  <c r="Y8" i="8"/>
  <c r="Y12" i="8"/>
  <c r="Y9" i="8"/>
  <c r="Y7" i="8"/>
  <c r="Y3" i="8"/>
  <c r="Y4" i="8"/>
</calcChain>
</file>

<file path=xl/sharedStrings.xml><?xml version="1.0" encoding="utf-8"?>
<sst xmlns="http://schemas.openxmlformats.org/spreadsheetml/2006/main" count="132" uniqueCount="69">
  <si>
    <t>h2020</t>
  </si>
  <si>
    <t>H2020</t>
  </si>
  <si>
    <t>USA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</si>
  <si>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</si>
  <si>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</si>
  <si>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</si>
  <si>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</si>
  <si>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</si>
  <si>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</si>
  <si>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</si>
  <si>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</si>
  <si>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</si>
  <si>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</si>
  <si>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Keyword Twitter</t>
  </si>
  <si>
    <t>Twitter</t>
  </si>
  <si>
    <t>Facebook</t>
  </si>
  <si>
    <t>Profile Twitter</t>
  </si>
  <si>
    <t>Facebook Page</t>
  </si>
  <si>
    <t>N. Posts</t>
  </si>
  <si>
    <t>DI</t>
  </si>
  <si>
    <t>OT</t>
  </si>
  <si>
    <t>N. Tweets</t>
  </si>
  <si>
    <t>Coverage DI</t>
  </si>
  <si>
    <t>SICOR</t>
  </si>
  <si>
    <t>Cover. OT</t>
  </si>
  <si>
    <t>PROJECT</t>
  </si>
  <si>
    <t>STRATEGY (SICOR)</t>
  </si>
  <si>
    <t>TYPE OF SM (SICOR)</t>
  </si>
  <si>
    <t>GLOBAL</t>
  </si>
  <si>
    <t>STRATEGY 1</t>
  </si>
  <si>
    <t>STRATEGY 2</t>
  </si>
  <si>
    <t>ESISM</t>
  </si>
  <si>
    <t>Total collected</t>
  </si>
  <si>
    <t>FP7</t>
  </si>
  <si>
    <t>Red values</t>
  </si>
  <si>
    <t>Legend</t>
  </si>
  <si>
    <t>PROJECTS</t>
  </si>
  <si>
    <t>STR1</t>
  </si>
  <si>
    <t>STR2</t>
  </si>
  <si>
    <t>Code</t>
  </si>
  <si>
    <t>POTENTIAL SI</t>
  </si>
  <si>
    <t>REAL SI</t>
  </si>
  <si>
    <t>Name</t>
  </si>
  <si>
    <t>References</t>
  </si>
  <si>
    <t>Potential SI</t>
  </si>
  <si>
    <t>Real SI</t>
  </si>
  <si>
    <t>P1_twitter</t>
  </si>
  <si>
    <t>P10_profile twitter</t>
  </si>
  <si>
    <t>P2_profile twitter</t>
  </si>
  <si>
    <t>P3_profile twitter</t>
  </si>
  <si>
    <t>P4_profile twitter</t>
  </si>
  <si>
    <t>P5_Facebook</t>
  </si>
  <si>
    <t>P5_keyword</t>
  </si>
  <si>
    <t>P8_profile twitter</t>
  </si>
  <si>
    <t>P9_profile twitter</t>
  </si>
  <si>
    <t>Real Si</t>
  </si>
  <si>
    <t>P2_keyword</t>
  </si>
  <si>
    <t>P3_Facebook</t>
  </si>
  <si>
    <t>P3_keyword</t>
  </si>
  <si>
    <t>P6_profile twitter</t>
  </si>
  <si>
    <t>P7_Facebook</t>
  </si>
  <si>
    <t>P7_keyword</t>
  </si>
  <si>
    <t>Project</t>
  </si>
  <si>
    <t>N. Tweets and Fb/posts</t>
  </si>
  <si>
    <t>The final number of tweets or fb/posts obtained under the corresponding code after the peer review analysis</t>
  </si>
  <si>
    <t>For further information see the Kappa excel</t>
  </si>
  <si>
    <t>Final amount</t>
  </si>
  <si>
    <t>Percentage %</t>
  </si>
  <si>
    <t>Percentage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</si>
</sst>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€_-;\-* #,##0.00\ _€_-;_-* &quot;-&quot;??\ _€_-;_-@_-"/>
    <numFmt numFmtId="164" formatCode="0.0"/>
    <numFmt numFmtId="165" formatCode="0_ ;\-0\ 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Segoe UI"/>
      <family val="2"/>
    </font>
    <font>
      <sz val="9"/>
      <name val="Segoe UI"/>
      <family val="2"/>
    </font>
    <font>
      <b/>
      <sz val="10"/>
      <color theme="1"/>
      <name val="Calibri"/>
      <family val="2"/>
      <scheme val="minor"/>
    </font>
    <font>
      <sz val="9"/>
      <color theme="0"/>
      <name val="Segoe UI"/>
      <family val="2"/>
    </font>
    <font>
      <b/>
      <sz val="9"/>
      <name val="Segoe UI"/>
      <family val="2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distributed" vertical="distributed" wrapText="1" readingOrder="1"/>
    </xf>
    <xf numFmtId="0" fontId="0" fillId="3" borderId="1" xfId="0" applyFill="1" applyBorder="1"/>
    <xf numFmtId="0" fontId="0" fillId="5" borderId="1" xfId="0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164" fontId="0" fillId="6" borderId="1" xfId="0" applyNumberFormat="1" applyFill="1" applyBorder="1"/>
    <xf numFmtId="164" fontId="0" fillId="0" borderId="1" xfId="0" applyNumberFormat="1" applyFill="1" applyBorder="1" applyAlignment="1">
      <alignment horizontal="center"/>
    </xf>
    <xf numFmtId="164" fontId="1" fillId="0" borderId="0" xfId="0" applyNumberFormat="1" applyFont="1"/>
    <xf numFmtId="0" fontId="0" fillId="7" borderId="1" xfId="0" applyFont="1" applyFill="1" applyBorder="1"/>
    <xf numFmtId="0" fontId="0" fillId="7" borderId="1" xfId="0" applyFill="1" applyBorder="1"/>
    <xf numFmtId="43" fontId="0" fillId="0" borderId="0" xfId="1" applyFont="1"/>
    <xf numFmtId="0" fontId="3" fillId="0" borderId="0" xfId="0" applyFont="1"/>
    <xf numFmtId="0" fontId="1" fillId="0" borderId="0" xfId="0" applyFont="1"/>
    <xf numFmtId="164" fontId="0" fillId="0" borderId="1" xfId="0" applyNumberFormat="1" applyFill="1" applyBorder="1"/>
    <xf numFmtId="164" fontId="0" fillId="0" borderId="1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/>
    <xf numFmtId="164" fontId="3" fillId="0" borderId="0" xfId="0" applyNumberFormat="1" applyFont="1" applyFill="1" applyBorder="1"/>
    <xf numFmtId="165" fontId="0" fillId="0" borderId="0" xfId="1" applyNumberFormat="1" applyFont="1"/>
    <xf numFmtId="43" fontId="0" fillId="0" borderId="0" xfId="1" applyFont="1" applyAlignment="1">
      <alignment horizontal="left"/>
    </xf>
    <xf numFmtId="0" fontId="0" fillId="7" borderId="0" xfId="0" applyFill="1" applyAlignment="1">
      <alignment horizontal="right"/>
    </xf>
    <xf numFmtId="0" fontId="2" fillId="2" borderId="1" xfId="0" applyFont="1" applyFill="1" applyBorder="1" applyAlignment="1">
      <alignment horizontal="distributed" vertical="distributed" wrapText="1" readingOrder="1"/>
    </xf>
    <xf numFmtId="164" fontId="1" fillId="8" borderId="0" xfId="0" applyNumberFormat="1" applyFont="1" applyFill="1"/>
    <xf numFmtId="0" fontId="5" fillId="10" borderId="4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right" vertical="top"/>
    </xf>
    <xf numFmtId="0" fontId="7" fillId="0" borderId="0" xfId="0" applyFont="1"/>
    <xf numFmtId="0" fontId="5" fillId="10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0" borderId="1" xfId="0" applyNumberFormat="1" applyFont="1" applyBorder="1"/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164" fontId="1" fillId="8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5" fillId="0" borderId="4" xfId="0" applyFont="1" applyFill="1" applyBorder="1" applyAlignment="1">
      <alignment horizontal="right" vertical="center"/>
    </xf>
    <xf numFmtId="1" fontId="6" fillId="0" borderId="4" xfId="0" applyNumberFormat="1" applyFont="1" applyBorder="1" applyAlignment="1">
      <alignment vertical="top"/>
    </xf>
    <xf numFmtId="1" fontId="6" fillId="0" borderId="1" xfId="0" applyNumberFormat="1" applyFont="1" applyBorder="1" applyAlignment="1">
      <alignment vertical="top"/>
    </xf>
    <xf numFmtId="1" fontId="6" fillId="0" borderId="1" xfId="0" applyNumberFormat="1" applyFont="1" applyBorder="1" applyAlignment="1">
      <alignment horizontal="right" vertical="top"/>
    </xf>
    <xf numFmtId="1" fontId="5" fillId="0" borderId="4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top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92AA0-7448-4217-B3E3-0A1775202FE8}">
  <dimension ref="A1:Y20"/>
  <sheetViews>
    <sheetView tabSelected="1" workbookViewId="0">
      <selection activeCell="G17" sqref="G17"/>
    </sheetView>
  </sheetViews>
  <sheetFormatPr baseColWidth="10" defaultRowHeight="15.75" x14ac:dyDescent="0.25"/>
  <cols>
    <col min="1" max="1" width="7.375" customWidth="1"/>
    <col min="2" max="2" width="7" customWidth="1"/>
    <col min="3" max="3" width="14.625" customWidth="1"/>
    <col min="4" max="4" width="9.375" customWidth="1"/>
    <col min="5" max="5" width="6.125" customWidth="1"/>
    <col min="6" max="7" width="5.5" customWidth="1"/>
    <col min="8" max="8" width="6.75" customWidth="1"/>
    <col min="9" max="9" width="5.5" customWidth="1"/>
    <col min="10" max="10" width="5.875" customWidth="1"/>
    <col min="11" max="11" width="4.75" customWidth="1"/>
    <col min="12" max="12" width="6.25" customWidth="1"/>
    <col min="13" max="13" width="4.5" customWidth="1"/>
    <col min="14" max="14" width="6.375" customWidth="1"/>
    <col min="15" max="15" width="7.125" customWidth="1"/>
    <col min="16" max="22" width="11" style="8"/>
    <col min="23" max="23" width="3.875" style="8" customWidth="1"/>
  </cols>
  <sheetData>
    <row r="1" spans="1:25" x14ac:dyDescent="0.25">
      <c r="P1" s="38" t="s">
        <v>25</v>
      </c>
      <c r="Q1" s="38"/>
      <c r="R1" s="38"/>
      <c r="S1" s="38" t="s">
        <v>26</v>
      </c>
      <c r="T1" s="38"/>
      <c r="U1" s="26" t="s">
        <v>27</v>
      </c>
      <c r="V1" s="26"/>
    </row>
    <row r="2" spans="1:25" x14ac:dyDescent="0.25">
      <c r="D2" s="39" t="s">
        <v>16</v>
      </c>
      <c r="E2" s="39"/>
      <c r="F2" s="39"/>
      <c r="G2" s="39"/>
      <c r="H2" s="39" t="s">
        <v>17</v>
      </c>
      <c r="I2" s="39"/>
      <c r="J2" s="39"/>
      <c r="K2" s="39"/>
      <c r="L2" s="40" t="s">
        <v>13</v>
      </c>
      <c r="M2" s="40"/>
      <c r="N2" s="40"/>
      <c r="O2" s="40"/>
      <c r="P2" s="6" t="s">
        <v>22</v>
      </c>
      <c r="Q2" s="6" t="s">
        <v>23</v>
      </c>
      <c r="R2" s="6" t="s">
        <v>24</v>
      </c>
      <c r="S2" s="6" t="s">
        <v>37</v>
      </c>
      <c r="T2" s="6" t="s">
        <v>38</v>
      </c>
      <c r="U2" s="10" t="s">
        <v>14</v>
      </c>
      <c r="V2" s="10" t="s">
        <v>15</v>
      </c>
      <c r="W2" s="19"/>
      <c r="X2" s="11" t="s">
        <v>28</v>
      </c>
      <c r="Y2" s="8"/>
    </row>
    <row r="3" spans="1:25" x14ac:dyDescent="0.25">
      <c r="B3" s="36" t="s">
        <v>36</v>
      </c>
      <c r="C3" s="37"/>
      <c r="D3" s="2" t="s">
        <v>21</v>
      </c>
      <c r="E3" s="2" t="s">
        <v>19</v>
      </c>
      <c r="F3" s="2" t="s">
        <v>31</v>
      </c>
      <c r="G3" s="2" t="s">
        <v>20</v>
      </c>
      <c r="H3" s="2" t="s">
        <v>18</v>
      </c>
      <c r="I3" s="2" t="s">
        <v>19</v>
      </c>
      <c r="J3" s="2" t="s">
        <v>31</v>
      </c>
      <c r="K3" s="2" t="s">
        <v>20</v>
      </c>
      <c r="L3" s="2" t="s">
        <v>21</v>
      </c>
      <c r="M3" s="2" t="s">
        <v>19</v>
      </c>
      <c r="N3" s="2" t="s">
        <v>31</v>
      </c>
      <c r="O3" s="2" t="s">
        <v>20</v>
      </c>
      <c r="P3" s="9"/>
      <c r="Q3" s="9"/>
      <c r="R3" s="9"/>
      <c r="S3" s="9"/>
      <c r="T3" s="9"/>
      <c r="U3" s="9"/>
      <c r="V3" s="9"/>
      <c r="W3" s="20"/>
      <c r="X3" s="8" t="s">
        <v>29</v>
      </c>
      <c r="Y3" s="8">
        <f>((J14+F14)/(H14+D14))*100</f>
        <v>13.785046728971961</v>
      </c>
    </row>
    <row r="4" spans="1:25" x14ac:dyDescent="0.25">
      <c r="B4" s="3" t="s">
        <v>3</v>
      </c>
      <c r="C4" s="25" t="s">
        <v>0</v>
      </c>
      <c r="D4" s="5"/>
      <c r="E4" s="5"/>
      <c r="F4" s="5"/>
      <c r="G4" s="5"/>
      <c r="H4" s="5"/>
      <c r="I4" s="5"/>
      <c r="J4" s="5"/>
      <c r="K4" s="5"/>
      <c r="L4" s="4">
        <f>M4+N4+O4</f>
        <v>91</v>
      </c>
      <c r="M4" s="4">
        <v>63</v>
      </c>
      <c r="N4" s="4">
        <v>9</v>
      </c>
      <c r="O4" s="4">
        <v>19</v>
      </c>
      <c r="P4" s="7">
        <f>(M4/L4)*100</f>
        <v>69.230769230769226</v>
      </c>
      <c r="Q4" s="7">
        <f>((N4+J4+F4)/(L4+H4+D4))*100</f>
        <v>9.8901098901098905</v>
      </c>
      <c r="R4" s="7">
        <f>((O4+K4+G4)/(L4+H4+D4))*100</f>
        <v>20.87912087912088</v>
      </c>
      <c r="S4" s="9"/>
      <c r="T4" s="7">
        <f>(N4/L4)*100</f>
        <v>9.8901098901098905</v>
      </c>
      <c r="U4" s="7">
        <f t="shared" ref="U4:U13" si="0">((N4+F4)/(L4+D4))*100</f>
        <v>9.8901098901098905</v>
      </c>
      <c r="V4" s="9"/>
      <c r="W4" s="20"/>
      <c r="X4" s="8" t="s">
        <v>30</v>
      </c>
      <c r="Y4" s="8">
        <f>(N14/L14)*100</f>
        <v>17.923186344238974</v>
      </c>
    </row>
    <row r="5" spans="1:25" x14ac:dyDescent="0.25">
      <c r="B5" s="3" t="s">
        <v>4</v>
      </c>
      <c r="C5" s="25" t="s">
        <v>33</v>
      </c>
      <c r="D5" s="1">
        <v>58</v>
      </c>
      <c r="E5" s="13">
        <v>16</v>
      </c>
      <c r="F5" s="4">
        <v>13</v>
      </c>
      <c r="G5" s="1">
        <v>28</v>
      </c>
      <c r="H5" s="5"/>
      <c r="I5" s="5"/>
      <c r="J5" s="5"/>
      <c r="K5" s="5"/>
      <c r="L5" s="1">
        <v>36</v>
      </c>
      <c r="M5" s="1">
        <v>11</v>
      </c>
      <c r="N5" s="1">
        <v>1</v>
      </c>
      <c r="O5" s="1">
        <v>24</v>
      </c>
      <c r="P5" s="17">
        <f>((E5+M5)/(L5+D5))*100</f>
        <v>28.723404255319153</v>
      </c>
      <c r="Q5" s="7">
        <f>((N5+J5+F5)/(L5+H5+D5))*100</f>
        <v>14.893617021276595</v>
      </c>
      <c r="R5" s="7">
        <f t="shared" ref="R5:R13" si="1">((O5+K5+G5)/(L5+H5+D5))*100</f>
        <v>55.319148936170215</v>
      </c>
      <c r="S5" s="7">
        <f>((J5+F5)/(H5+D5))*100</f>
        <v>22.413793103448278</v>
      </c>
      <c r="T5" s="7">
        <f t="shared" ref="T5:T11" si="2">(N5/L5)*100</f>
        <v>2.7777777777777777</v>
      </c>
      <c r="U5" s="7">
        <f t="shared" si="0"/>
        <v>14.893617021276595</v>
      </c>
      <c r="V5" s="9"/>
      <c r="W5" s="20"/>
      <c r="X5" s="8"/>
      <c r="Y5" s="8"/>
    </row>
    <row r="6" spans="1:25" x14ac:dyDescent="0.25">
      <c r="B6" s="3" t="s">
        <v>5</v>
      </c>
      <c r="C6" s="25" t="s">
        <v>2</v>
      </c>
      <c r="D6" s="1">
        <v>202</v>
      </c>
      <c r="E6" s="1">
        <v>79</v>
      </c>
      <c r="F6" s="4">
        <v>29</v>
      </c>
      <c r="G6" s="1">
        <v>94</v>
      </c>
      <c r="H6" s="1">
        <v>19</v>
      </c>
      <c r="I6" s="1">
        <v>10</v>
      </c>
      <c r="J6" s="1">
        <v>1</v>
      </c>
      <c r="K6" s="1">
        <v>9</v>
      </c>
      <c r="L6" s="1">
        <v>141</v>
      </c>
      <c r="M6" s="13">
        <v>100</v>
      </c>
      <c r="N6" s="1">
        <v>9</v>
      </c>
      <c r="O6" s="1">
        <v>30</v>
      </c>
      <c r="P6" s="17">
        <f>((E6+M6+I6)/(D6+L6+H6))*100</f>
        <v>52.209944751381222</v>
      </c>
      <c r="Q6" s="7">
        <f>((N6+J6+F6)/(L6+H6+D6))*100</f>
        <v>10.773480662983426</v>
      </c>
      <c r="R6" s="7">
        <f t="shared" si="1"/>
        <v>36.740331491712709</v>
      </c>
      <c r="S6" s="7">
        <f t="shared" ref="S6:S13" si="3">((J6+F6)/(H6+D6))*100</f>
        <v>13.574660633484163</v>
      </c>
      <c r="T6" s="7">
        <f t="shared" si="2"/>
        <v>6.3829787234042552</v>
      </c>
      <c r="U6" s="7">
        <f t="shared" si="0"/>
        <v>11.078717201166182</v>
      </c>
      <c r="V6" s="7">
        <f>(J6/H6)*100</f>
        <v>5.2631578947368416</v>
      </c>
      <c r="W6" s="20"/>
      <c r="X6" s="11" t="s">
        <v>28</v>
      </c>
      <c r="Y6" s="8"/>
    </row>
    <row r="7" spans="1:25" x14ac:dyDescent="0.25">
      <c r="B7" s="3" t="s">
        <v>6</v>
      </c>
      <c r="C7" s="25" t="s">
        <v>0</v>
      </c>
      <c r="D7" s="1">
        <v>51</v>
      </c>
      <c r="E7" s="1">
        <v>36</v>
      </c>
      <c r="F7" s="4">
        <v>14</v>
      </c>
      <c r="G7" s="1">
        <v>1</v>
      </c>
      <c r="H7" s="5"/>
      <c r="I7" s="5"/>
      <c r="J7" s="5"/>
      <c r="K7" s="5"/>
      <c r="L7" s="5"/>
      <c r="M7" s="5"/>
      <c r="N7" s="5"/>
      <c r="O7" s="5"/>
      <c r="P7" s="9"/>
      <c r="Q7" s="35">
        <f t="shared" ref="Q7:Q13" si="4">((N7+J7+F7)/(L7+H7+D7))*100</f>
        <v>27.450980392156865</v>
      </c>
      <c r="R7" s="7">
        <f t="shared" si="1"/>
        <v>1.9607843137254901</v>
      </c>
      <c r="S7" s="7">
        <f t="shared" si="3"/>
        <v>27.450980392156865</v>
      </c>
      <c r="T7" s="9"/>
      <c r="U7" s="35">
        <f t="shared" si="0"/>
        <v>27.450980392156865</v>
      </c>
      <c r="V7" s="9"/>
      <c r="W7" s="20"/>
      <c r="X7" s="8" t="s">
        <v>19</v>
      </c>
      <c r="Y7" s="8">
        <f>((M14+I14+E14)/(D14+H14+L14))*100</f>
        <v>56.446440025657473</v>
      </c>
    </row>
    <row r="8" spans="1:25" x14ac:dyDescent="0.25">
      <c r="B8" s="3" t="s">
        <v>7</v>
      </c>
      <c r="C8" s="25" t="s">
        <v>1</v>
      </c>
      <c r="D8" s="5"/>
      <c r="E8" s="5"/>
      <c r="F8" s="5"/>
      <c r="G8" s="5"/>
      <c r="H8" s="4">
        <v>105</v>
      </c>
      <c r="I8" s="12">
        <v>57</v>
      </c>
      <c r="J8" s="4">
        <v>26</v>
      </c>
      <c r="K8" s="13">
        <v>18</v>
      </c>
      <c r="L8" s="1">
        <v>14</v>
      </c>
      <c r="M8" s="1">
        <v>10</v>
      </c>
      <c r="N8" s="1">
        <v>2</v>
      </c>
      <c r="O8" s="1">
        <v>2</v>
      </c>
      <c r="P8" s="18">
        <f>((I8+M8)/(H8+L8))*100</f>
        <v>56.30252100840336</v>
      </c>
      <c r="Q8" s="35">
        <f>((N8+J8+F8)/(L8+H8+D8))*100</f>
        <v>23.52941176470588</v>
      </c>
      <c r="R8" s="17">
        <f t="shared" si="1"/>
        <v>16.806722689075631</v>
      </c>
      <c r="S8" s="7">
        <f t="shared" si="3"/>
        <v>24.761904761904763</v>
      </c>
      <c r="T8" s="7">
        <f t="shared" si="2"/>
        <v>14.285714285714285</v>
      </c>
      <c r="U8" s="35">
        <f t="shared" si="0"/>
        <v>14.285714285714285</v>
      </c>
      <c r="V8" s="35">
        <f>(J8/H8)*100</f>
        <v>24.761904761904763</v>
      </c>
      <c r="W8" s="21"/>
      <c r="X8" s="8" t="s">
        <v>31</v>
      </c>
      <c r="Y8" s="8">
        <f>((N14+J14+F14)/(D14+H14+L14))*100</f>
        <v>15.651058370750482</v>
      </c>
    </row>
    <row r="9" spans="1:25" x14ac:dyDescent="0.25">
      <c r="B9" s="3" t="s">
        <v>8</v>
      </c>
      <c r="C9" s="25" t="s">
        <v>1</v>
      </c>
      <c r="D9" s="1">
        <v>90</v>
      </c>
      <c r="E9" s="1">
        <v>69</v>
      </c>
      <c r="F9" s="4">
        <v>11</v>
      </c>
      <c r="G9" s="1">
        <v>20</v>
      </c>
      <c r="H9" s="5"/>
      <c r="I9" s="5"/>
      <c r="J9" s="5"/>
      <c r="K9" s="5"/>
      <c r="L9" s="5"/>
      <c r="M9" s="5"/>
      <c r="N9" s="5"/>
      <c r="O9" s="5"/>
      <c r="P9" s="9"/>
      <c r="Q9" s="35">
        <f>((N9+J9+F9)/(L9+H9+D9))*100</f>
        <v>12.222222222222221</v>
      </c>
      <c r="R9" s="17">
        <f t="shared" si="1"/>
        <v>22.222222222222221</v>
      </c>
      <c r="S9" s="7">
        <f t="shared" si="3"/>
        <v>12.222222222222221</v>
      </c>
      <c r="T9" s="9"/>
      <c r="U9" s="35">
        <f t="shared" si="0"/>
        <v>12.222222222222221</v>
      </c>
      <c r="V9" s="9"/>
      <c r="W9" s="20"/>
      <c r="X9" s="8" t="s">
        <v>20</v>
      </c>
      <c r="Y9" s="8">
        <f>((O14+K14+G14)/(L14+H14+D14))*100</f>
        <v>27.517639512508019</v>
      </c>
    </row>
    <row r="10" spans="1:25" x14ac:dyDescent="0.25">
      <c r="B10" s="3" t="s">
        <v>9</v>
      </c>
      <c r="C10" s="25" t="s">
        <v>2</v>
      </c>
      <c r="D10" s="5"/>
      <c r="E10" s="5"/>
      <c r="F10" s="5"/>
      <c r="G10" s="5"/>
      <c r="H10" s="1">
        <v>33</v>
      </c>
      <c r="I10" s="1">
        <v>12</v>
      </c>
      <c r="J10" s="1">
        <v>7</v>
      </c>
      <c r="K10" s="1">
        <v>14</v>
      </c>
      <c r="L10" s="1">
        <v>392</v>
      </c>
      <c r="M10" s="1">
        <v>250</v>
      </c>
      <c r="N10" s="1">
        <v>105</v>
      </c>
      <c r="O10" s="13">
        <v>31</v>
      </c>
      <c r="P10" s="7">
        <f>((M10+I10)/(H10+L10))*100</f>
        <v>61.647058823529413</v>
      </c>
      <c r="Q10" s="35">
        <f t="shared" si="4"/>
        <v>26.352941176470591</v>
      </c>
      <c r="R10" s="17">
        <f t="shared" si="1"/>
        <v>10.588235294117647</v>
      </c>
      <c r="S10" s="7">
        <f t="shared" si="3"/>
        <v>21.212121212121211</v>
      </c>
      <c r="T10" s="35">
        <f t="shared" si="2"/>
        <v>26.785714285714285</v>
      </c>
      <c r="U10" s="35">
        <f t="shared" si="0"/>
        <v>26.785714285714285</v>
      </c>
      <c r="V10" s="7">
        <f>(J10/H10)*100</f>
        <v>21.212121212121211</v>
      </c>
      <c r="W10" s="20"/>
      <c r="X10" s="8"/>
      <c r="Y10" s="8"/>
    </row>
    <row r="11" spans="1:25" x14ac:dyDescent="0.25">
      <c r="B11" s="3" t="s">
        <v>10</v>
      </c>
      <c r="C11" s="25" t="s">
        <v>1</v>
      </c>
      <c r="D11" s="1">
        <v>55</v>
      </c>
      <c r="E11" s="1">
        <v>39</v>
      </c>
      <c r="F11" s="4">
        <v>7</v>
      </c>
      <c r="G11" s="1">
        <v>9</v>
      </c>
      <c r="H11" s="5"/>
      <c r="I11" s="5"/>
      <c r="J11" s="5"/>
      <c r="K11" s="5"/>
      <c r="L11" s="1">
        <v>29</v>
      </c>
      <c r="M11" s="1">
        <v>20</v>
      </c>
      <c r="N11" s="1">
        <v>0</v>
      </c>
      <c r="O11" s="1">
        <v>9</v>
      </c>
      <c r="P11" s="7">
        <f>((M11+E11)/(L11+D11)*100)</f>
        <v>70.238095238095227</v>
      </c>
      <c r="Q11" s="7">
        <f>((N11+J11+F11)/(L11+H11+D11))*100</f>
        <v>8.3333333333333321</v>
      </c>
      <c r="R11" s="17">
        <f t="shared" si="1"/>
        <v>21.428571428571427</v>
      </c>
      <c r="S11" s="7">
        <f t="shared" si="3"/>
        <v>12.727272727272727</v>
      </c>
      <c r="T11" s="7">
        <f t="shared" si="2"/>
        <v>0</v>
      </c>
      <c r="U11" s="7">
        <f t="shared" si="0"/>
        <v>8.3333333333333321</v>
      </c>
      <c r="V11" s="9"/>
      <c r="W11" s="20"/>
      <c r="X11" s="11" t="s">
        <v>28</v>
      </c>
      <c r="Y11" s="8"/>
    </row>
    <row r="12" spans="1:25" x14ac:dyDescent="0.25">
      <c r="B12" s="3" t="s">
        <v>11</v>
      </c>
      <c r="C12" s="25" t="s">
        <v>1</v>
      </c>
      <c r="D12" s="1">
        <v>220</v>
      </c>
      <c r="E12" s="13">
        <v>96</v>
      </c>
      <c r="F12" s="4">
        <v>8</v>
      </c>
      <c r="G12" s="13">
        <v>113</v>
      </c>
      <c r="H12" s="5"/>
      <c r="I12" s="5"/>
      <c r="J12" s="5"/>
      <c r="K12" s="5"/>
      <c r="L12" s="5"/>
      <c r="M12" s="5"/>
      <c r="N12" s="5"/>
      <c r="O12" s="5"/>
      <c r="P12" s="17">
        <f>(E12/D12)*100</f>
        <v>43.636363636363633</v>
      </c>
      <c r="Q12" s="7">
        <f t="shared" si="4"/>
        <v>3.6363636363636362</v>
      </c>
      <c r="R12" s="17">
        <f t="shared" si="1"/>
        <v>51.363636363636367</v>
      </c>
      <c r="S12" s="7">
        <f t="shared" si="3"/>
        <v>3.6363636363636362</v>
      </c>
      <c r="T12" s="9"/>
      <c r="U12" s="7">
        <f t="shared" si="0"/>
        <v>3.6363636363636362</v>
      </c>
      <c r="V12" s="9"/>
      <c r="W12" s="20"/>
      <c r="X12" s="8" t="s">
        <v>14</v>
      </c>
      <c r="Y12" s="8">
        <f>((N14+F14)/(D14+L14))*100</f>
        <v>14.978601997146935</v>
      </c>
    </row>
    <row r="13" spans="1:25" x14ac:dyDescent="0.25">
      <c r="B13" s="3" t="s">
        <v>12</v>
      </c>
      <c r="C13" s="25" t="s">
        <v>1</v>
      </c>
      <c r="D13" s="1">
        <v>23</v>
      </c>
      <c r="E13" s="13">
        <v>12</v>
      </c>
      <c r="F13" s="4">
        <v>2</v>
      </c>
      <c r="G13" s="1">
        <v>8</v>
      </c>
      <c r="H13" s="5"/>
      <c r="I13" s="5"/>
      <c r="J13" s="5"/>
      <c r="K13" s="5"/>
      <c r="L13" s="5"/>
      <c r="M13" s="5"/>
      <c r="N13" s="5"/>
      <c r="O13" s="5"/>
      <c r="P13" s="17">
        <f>(E13/D13)*100</f>
        <v>52.173913043478258</v>
      </c>
      <c r="Q13" s="7">
        <f t="shared" si="4"/>
        <v>8.695652173913043</v>
      </c>
      <c r="R13" s="17">
        <f t="shared" si="1"/>
        <v>34.782608695652172</v>
      </c>
      <c r="S13" s="7">
        <f t="shared" si="3"/>
        <v>8.695652173913043</v>
      </c>
      <c r="T13" s="9"/>
      <c r="U13" s="7">
        <f t="shared" si="0"/>
        <v>8.695652173913043</v>
      </c>
      <c r="V13" s="9"/>
      <c r="W13" s="20"/>
      <c r="X13" s="8" t="s">
        <v>15</v>
      </c>
      <c r="Y13" s="8">
        <f>(J14/H14)*100</f>
        <v>21.656050955414013</v>
      </c>
    </row>
    <row r="14" spans="1:25" x14ac:dyDescent="0.25">
      <c r="A14" s="16"/>
      <c r="D14">
        <f>SUM(D5:D13)</f>
        <v>699</v>
      </c>
      <c r="E14">
        <f>SUM(E5:E13)</f>
        <v>347</v>
      </c>
      <c r="F14">
        <f>SUM(F5:F13)</f>
        <v>84</v>
      </c>
      <c r="G14">
        <f>SUM(G5:G13)</f>
        <v>273</v>
      </c>
      <c r="H14">
        <f t="shared" ref="H14:O14" si="5">SUM(H4:H13)</f>
        <v>157</v>
      </c>
      <c r="I14">
        <f t="shared" si="5"/>
        <v>79</v>
      </c>
      <c r="J14">
        <f t="shared" si="5"/>
        <v>34</v>
      </c>
      <c r="K14">
        <f t="shared" si="5"/>
        <v>41</v>
      </c>
      <c r="L14">
        <f t="shared" si="5"/>
        <v>703</v>
      </c>
      <c r="M14">
        <f t="shared" si="5"/>
        <v>454</v>
      </c>
      <c r="N14">
        <f t="shared" si="5"/>
        <v>126</v>
      </c>
      <c r="O14">
        <f t="shared" si="5"/>
        <v>115</v>
      </c>
    </row>
    <row r="17" spans="2:9" s="14" customFormat="1" x14ac:dyDescent="0.25">
      <c r="C17" s="23" t="s">
        <v>32</v>
      </c>
      <c r="D17" s="22">
        <f>D14+H14+L14</f>
        <v>1559</v>
      </c>
    </row>
    <row r="18" spans="2:9" x14ac:dyDescent="0.25">
      <c r="C18" t="s">
        <v>66</v>
      </c>
      <c r="D18" s="41">
        <v>1543</v>
      </c>
    </row>
    <row r="19" spans="2:9" x14ac:dyDescent="0.25">
      <c r="B19" t="s">
        <v>35</v>
      </c>
      <c r="C19" s="24" t="s">
        <v>34</v>
      </c>
      <c r="D19" t="s">
        <v>64</v>
      </c>
      <c r="I19" s="15"/>
    </row>
    <row r="20" spans="2:9" x14ac:dyDescent="0.25">
      <c r="D20" t="s">
        <v>65</v>
      </c>
    </row>
  </sheetData>
  <mergeCells count="6">
    <mergeCell ref="B3:C3"/>
    <mergeCell ref="P1:R1"/>
    <mergeCell ref="S1:T1"/>
    <mergeCell ref="D2:G2"/>
    <mergeCell ref="H2:K2"/>
    <mergeCell ref="L2:O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2572-5459-4B06-8FEF-87A25EB64E1C}">
  <dimension ref="B2:F45"/>
  <sheetViews>
    <sheetView workbookViewId="0">
      <selection activeCell="F29" sqref="F29"/>
    </sheetView>
  </sheetViews>
  <sheetFormatPr baseColWidth="10" defaultRowHeight="15.75" x14ac:dyDescent="0.25"/>
  <cols>
    <col min="2" max="2" width="14.5" customWidth="1"/>
    <col min="4" max="4" width="11.625" customWidth="1"/>
    <col min="5" max="5" width="12.875" customWidth="1"/>
  </cols>
  <sheetData>
    <row r="2" spans="2:6" ht="21" customHeight="1" x14ac:dyDescent="0.25">
      <c r="B2" s="27" t="s">
        <v>42</v>
      </c>
      <c r="C2" s="27" t="s">
        <v>43</v>
      </c>
      <c r="D2" s="27" t="s">
        <v>68</v>
      </c>
    </row>
    <row r="3" spans="2:6" ht="21" customHeight="1" x14ac:dyDescent="0.25">
      <c r="B3" s="42" t="s">
        <v>31</v>
      </c>
      <c r="C3" s="42">
        <v>244</v>
      </c>
      <c r="D3" s="46">
        <v>100</v>
      </c>
    </row>
    <row r="4" spans="2:6" x14ac:dyDescent="0.25">
      <c r="B4" s="29" t="s">
        <v>44</v>
      </c>
      <c r="C4" s="29">
        <v>42</v>
      </c>
      <c r="D4" s="45">
        <f>(C4/C3)*100</f>
        <v>17.21311475409836</v>
      </c>
    </row>
    <row r="5" spans="2:6" x14ac:dyDescent="0.25">
      <c r="B5" s="29" t="s">
        <v>45</v>
      </c>
      <c r="C5" s="29">
        <v>202</v>
      </c>
      <c r="D5" s="45">
        <f>(C5/C3)*100</f>
        <v>82.786885245901644</v>
      </c>
    </row>
    <row r="7" spans="2:6" x14ac:dyDescent="0.25">
      <c r="B7" s="30" t="s">
        <v>44</v>
      </c>
      <c r="E7" s="30" t="s">
        <v>55</v>
      </c>
    </row>
    <row r="8" spans="2:6" x14ac:dyDescent="0.25">
      <c r="B8" s="27" t="s">
        <v>42</v>
      </c>
      <c r="C8" s="27" t="s">
        <v>43</v>
      </c>
      <c r="E8" s="31" t="s">
        <v>42</v>
      </c>
      <c r="F8" s="31" t="s">
        <v>43</v>
      </c>
    </row>
    <row r="9" spans="2:6" x14ac:dyDescent="0.25">
      <c r="B9" s="28" t="s">
        <v>46</v>
      </c>
      <c r="C9" s="29">
        <v>7</v>
      </c>
      <c r="E9" s="28" t="s">
        <v>46</v>
      </c>
      <c r="F9" s="29">
        <v>2</v>
      </c>
    </row>
    <row r="10" spans="2:6" x14ac:dyDescent="0.25">
      <c r="B10" s="28" t="s">
        <v>47</v>
      </c>
      <c r="C10" s="29">
        <v>1</v>
      </c>
      <c r="E10" s="28" t="s">
        <v>47</v>
      </c>
      <c r="F10" s="29">
        <v>1</v>
      </c>
    </row>
    <row r="11" spans="2:6" x14ac:dyDescent="0.25">
      <c r="B11" s="28" t="s">
        <v>48</v>
      </c>
      <c r="C11" s="29">
        <v>4</v>
      </c>
      <c r="E11" s="28" t="s">
        <v>56</v>
      </c>
      <c r="F11" s="29">
        <v>1</v>
      </c>
    </row>
    <row r="12" spans="2:6" x14ac:dyDescent="0.25">
      <c r="B12" s="28" t="s">
        <v>49</v>
      </c>
      <c r="C12" s="29">
        <v>11</v>
      </c>
      <c r="E12" s="28" t="s">
        <v>48</v>
      </c>
      <c r="F12" s="29">
        <v>9</v>
      </c>
    </row>
    <row r="13" spans="2:6" x14ac:dyDescent="0.25">
      <c r="B13" s="28" t="s">
        <v>50</v>
      </c>
      <c r="C13" s="29">
        <v>5</v>
      </c>
      <c r="E13" s="28" t="s">
        <v>57</v>
      </c>
      <c r="F13" s="29">
        <v>1</v>
      </c>
    </row>
    <row r="14" spans="2:6" x14ac:dyDescent="0.25">
      <c r="B14" s="28" t="s">
        <v>51</v>
      </c>
      <c r="C14" s="29">
        <v>4</v>
      </c>
      <c r="E14" s="28" t="s">
        <v>58</v>
      </c>
      <c r="F14" s="29">
        <v>9</v>
      </c>
    </row>
    <row r="15" spans="2:6" x14ac:dyDescent="0.25">
      <c r="B15" s="28" t="s">
        <v>52</v>
      </c>
      <c r="C15" s="29">
        <v>2</v>
      </c>
      <c r="E15" s="28" t="s">
        <v>49</v>
      </c>
      <c r="F15" s="29">
        <v>18</v>
      </c>
    </row>
    <row r="16" spans="2:6" x14ac:dyDescent="0.25">
      <c r="B16" s="28" t="s">
        <v>53</v>
      </c>
      <c r="C16" s="29">
        <v>4</v>
      </c>
      <c r="E16" s="28" t="s">
        <v>50</v>
      </c>
      <c r="F16" s="29">
        <v>9</v>
      </c>
    </row>
    <row r="17" spans="2:6" x14ac:dyDescent="0.25">
      <c r="B17" s="28" t="s">
        <v>54</v>
      </c>
      <c r="C17" s="29">
        <v>4</v>
      </c>
      <c r="E17" s="28" t="s">
        <v>51</v>
      </c>
      <c r="F17" s="29">
        <v>22</v>
      </c>
    </row>
    <row r="18" spans="2:6" x14ac:dyDescent="0.25">
      <c r="E18" s="28" t="s">
        <v>59</v>
      </c>
      <c r="F18" s="29">
        <v>11</v>
      </c>
    </row>
    <row r="19" spans="2:6" x14ac:dyDescent="0.25">
      <c r="E19" s="28" t="s">
        <v>60</v>
      </c>
      <c r="F19" s="29">
        <v>7</v>
      </c>
    </row>
    <row r="20" spans="2:6" x14ac:dyDescent="0.25">
      <c r="E20" s="28" t="s">
        <v>61</v>
      </c>
      <c r="F20" s="29">
        <v>105</v>
      </c>
    </row>
    <row r="21" spans="2:6" x14ac:dyDescent="0.25">
      <c r="E21" s="28" t="s">
        <v>53</v>
      </c>
      <c r="F21" s="29">
        <v>3</v>
      </c>
    </row>
    <row r="22" spans="2:6" x14ac:dyDescent="0.25">
      <c r="E22" s="28" t="s">
        <v>54</v>
      </c>
      <c r="F22" s="29">
        <v>4</v>
      </c>
    </row>
    <row r="25" spans="2:6" ht="24" x14ac:dyDescent="0.25">
      <c r="B25" s="32" t="s">
        <v>62</v>
      </c>
      <c r="C25" s="32" t="s">
        <v>39</v>
      </c>
      <c r="D25" s="33" t="s">
        <v>63</v>
      </c>
      <c r="E25" s="33" t="s">
        <v>31</v>
      </c>
      <c r="F25" s="33" t="s">
        <v>67</v>
      </c>
    </row>
    <row r="26" spans="2:6" x14ac:dyDescent="0.25">
      <c r="B26" s="28" t="s">
        <v>3</v>
      </c>
      <c r="C26" s="28" t="s">
        <v>40</v>
      </c>
      <c r="D26" s="28">
        <v>7</v>
      </c>
      <c r="E26" s="43">
        <v>244</v>
      </c>
      <c r="F26" s="47">
        <f>(D26/E26)*100</f>
        <v>2.8688524590163933</v>
      </c>
    </row>
    <row r="27" spans="2:6" x14ac:dyDescent="0.25">
      <c r="B27" s="28"/>
      <c r="C27" s="28" t="s">
        <v>41</v>
      </c>
      <c r="D27" s="28">
        <v>2</v>
      </c>
      <c r="E27" s="43">
        <v>244</v>
      </c>
      <c r="F27" s="47">
        <f t="shared" ref="F27:F45" si="0">(D27/E27)*100</f>
        <v>0.81967213114754101</v>
      </c>
    </row>
    <row r="28" spans="2:6" x14ac:dyDescent="0.25">
      <c r="B28" s="28" t="s">
        <v>4</v>
      </c>
      <c r="C28" s="28" t="s">
        <v>40</v>
      </c>
      <c r="D28" s="28">
        <v>4</v>
      </c>
      <c r="E28" s="43">
        <v>244</v>
      </c>
      <c r="F28" s="47">
        <f t="shared" si="0"/>
        <v>1.639344262295082</v>
      </c>
    </row>
    <row r="29" spans="2:6" x14ac:dyDescent="0.25">
      <c r="B29" s="28"/>
      <c r="C29" s="28" t="s">
        <v>41</v>
      </c>
      <c r="D29" s="28">
        <v>10</v>
      </c>
      <c r="E29" s="43">
        <v>244</v>
      </c>
      <c r="F29" s="47">
        <f t="shared" si="0"/>
        <v>4.0983606557377046</v>
      </c>
    </row>
    <row r="30" spans="2:6" x14ac:dyDescent="0.25">
      <c r="B30" s="28" t="s">
        <v>5</v>
      </c>
      <c r="C30" s="28" t="s">
        <v>40</v>
      </c>
      <c r="D30" s="28">
        <v>11</v>
      </c>
      <c r="E30" s="43">
        <v>244</v>
      </c>
      <c r="F30" s="47">
        <f t="shared" si="0"/>
        <v>4.5081967213114753</v>
      </c>
    </row>
    <row r="31" spans="2:6" x14ac:dyDescent="0.25">
      <c r="B31" s="28"/>
      <c r="C31" s="28" t="s">
        <v>41</v>
      </c>
      <c r="D31" s="34">
        <v>28</v>
      </c>
      <c r="E31" s="43">
        <v>244</v>
      </c>
      <c r="F31" s="47">
        <f t="shared" si="0"/>
        <v>11.475409836065573</v>
      </c>
    </row>
    <row r="32" spans="2:6" x14ac:dyDescent="0.25">
      <c r="B32" s="28" t="s">
        <v>6</v>
      </c>
      <c r="C32" s="28" t="s">
        <v>40</v>
      </c>
      <c r="D32" s="28">
        <v>5</v>
      </c>
      <c r="E32" s="43">
        <v>244</v>
      </c>
      <c r="F32" s="47">
        <f t="shared" si="0"/>
        <v>2.0491803278688523</v>
      </c>
    </row>
    <row r="33" spans="2:6" x14ac:dyDescent="0.25">
      <c r="B33" s="28"/>
      <c r="C33" s="28" t="s">
        <v>41</v>
      </c>
      <c r="D33" s="28">
        <v>9</v>
      </c>
      <c r="E33" s="43">
        <v>244</v>
      </c>
      <c r="F33" s="47">
        <f t="shared" si="0"/>
        <v>3.6885245901639343</v>
      </c>
    </row>
    <row r="34" spans="2:6" x14ac:dyDescent="0.25">
      <c r="B34" s="28" t="s">
        <v>7</v>
      </c>
      <c r="C34" s="28" t="s">
        <v>40</v>
      </c>
      <c r="D34" s="28">
        <v>6</v>
      </c>
      <c r="E34" s="43">
        <v>244</v>
      </c>
      <c r="F34" s="47">
        <f t="shared" si="0"/>
        <v>2.459016393442623</v>
      </c>
    </row>
    <row r="35" spans="2:6" x14ac:dyDescent="0.25">
      <c r="B35" s="28"/>
      <c r="C35" s="28" t="s">
        <v>41</v>
      </c>
      <c r="D35" s="34">
        <v>22</v>
      </c>
      <c r="E35" s="43">
        <v>244</v>
      </c>
      <c r="F35" s="47">
        <f t="shared" si="0"/>
        <v>9.0163934426229506</v>
      </c>
    </row>
    <row r="36" spans="2:6" x14ac:dyDescent="0.25">
      <c r="B36" s="28" t="s">
        <v>8</v>
      </c>
      <c r="C36" s="28" t="s">
        <v>40</v>
      </c>
      <c r="D36" s="28">
        <v>0</v>
      </c>
      <c r="E36" s="43">
        <v>244</v>
      </c>
      <c r="F36" s="47">
        <f t="shared" si="0"/>
        <v>0</v>
      </c>
    </row>
    <row r="37" spans="2:6" x14ac:dyDescent="0.25">
      <c r="B37" s="28"/>
      <c r="C37" s="28" t="s">
        <v>41</v>
      </c>
      <c r="D37" s="28">
        <v>11</v>
      </c>
      <c r="E37" s="43">
        <v>244</v>
      </c>
      <c r="F37" s="47">
        <f t="shared" si="0"/>
        <v>4.5081967213114753</v>
      </c>
    </row>
    <row r="38" spans="2:6" x14ac:dyDescent="0.25">
      <c r="B38" s="28" t="s">
        <v>9</v>
      </c>
      <c r="C38" s="28" t="s">
        <v>40</v>
      </c>
      <c r="D38" s="28">
        <v>0</v>
      </c>
      <c r="E38" s="43">
        <v>244</v>
      </c>
      <c r="F38" s="47">
        <f t="shared" si="0"/>
        <v>0</v>
      </c>
    </row>
    <row r="39" spans="2:6" x14ac:dyDescent="0.25">
      <c r="B39" s="28"/>
      <c r="C39" s="28" t="s">
        <v>41</v>
      </c>
      <c r="D39" s="34">
        <v>112</v>
      </c>
      <c r="E39" s="43">
        <v>244</v>
      </c>
      <c r="F39" s="47">
        <f t="shared" si="0"/>
        <v>45.901639344262293</v>
      </c>
    </row>
    <row r="40" spans="2:6" x14ac:dyDescent="0.25">
      <c r="B40" s="28" t="s">
        <v>10</v>
      </c>
      <c r="C40" s="28" t="s">
        <v>40</v>
      </c>
      <c r="D40" s="28">
        <v>4</v>
      </c>
      <c r="E40" s="43">
        <v>244</v>
      </c>
      <c r="F40" s="47">
        <f t="shared" si="0"/>
        <v>1.639344262295082</v>
      </c>
    </row>
    <row r="41" spans="2:6" x14ac:dyDescent="0.25">
      <c r="B41" s="28"/>
      <c r="C41" s="28" t="s">
        <v>41</v>
      </c>
      <c r="D41" s="28">
        <v>3</v>
      </c>
      <c r="E41" s="43">
        <v>244</v>
      </c>
      <c r="F41" s="47">
        <f t="shared" si="0"/>
        <v>1.2295081967213115</v>
      </c>
    </row>
    <row r="42" spans="2:6" x14ac:dyDescent="0.25">
      <c r="B42" s="28" t="s">
        <v>11</v>
      </c>
      <c r="C42" s="28" t="s">
        <v>40</v>
      </c>
      <c r="D42" s="28">
        <v>4</v>
      </c>
      <c r="E42" s="43">
        <v>244</v>
      </c>
      <c r="F42" s="47">
        <f t="shared" si="0"/>
        <v>1.639344262295082</v>
      </c>
    </row>
    <row r="43" spans="2:6" x14ac:dyDescent="0.25">
      <c r="B43" s="28"/>
      <c r="C43" s="28" t="s">
        <v>41</v>
      </c>
      <c r="D43" s="28">
        <v>4</v>
      </c>
      <c r="E43" s="43">
        <v>244</v>
      </c>
      <c r="F43" s="47">
        <f t="shared" si="0"/>
        <v>1.639344262295082</v>
      </c>
    </row>
    <row r="44" spans="2:6" x14ac:dyDescent="0.25">
      <c r="B44" s="28" t="s">
        <v>12</v>
      </c>
      <c r="C44" s="28" t="s">
        <v>40</v>
      </c>
      <c r="D44" s="28">
        <v>1</v>
      </c>
      <c r="E44" s="43">
        <v>244</v>
      </c>
      <c r="F44" s="47">
        <f t="shared" si="0"/>
        <v>0.4098360655737705</v>
      </c>
    </row>
    <row r="45" spans="2:6" x14ac:dyDescent="0.25">
      <c r="B45" s="28"/>
      <c r="C45" s="28" t="s">
        <v>41</v>
      </c>
      <c r="D45" s="28">
        <v>1</v>
      </c>
      <c r="E45" s="44">
        <v>244</v>
      </c>
      <c r="F45" s="47">
        <f t="shared" si="0"/>
        <v>0.4098360655737705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Final Analysis SISM-SICOR</vt:lpstr>
      <vt:lpstr>Potential - 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Vladia Ionescu</dc:creator>
  <cp:lastModifiedBy>Review</cp:lastModifiedBy>
  <dcterms:created xsi:type="dcterms:W3CDTF">2019-07-15T08:10:24Z</dcterms:created>
  <dcterms:modified xsi:type="dcterms:W3CDTF">2019-10-19T16:24:34Z</dcterms:modified>
</cp:coreProperties>
</file>